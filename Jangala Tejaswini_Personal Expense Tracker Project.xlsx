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1361BAF-93F5-415B-9CBC-5155B74E2F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enses" sheetId="1" r:id="rId1"/>
    <sheet name="Summary" sheetId="2" r:id="rId2"/>
    <sheet name="Insights" sheetId="3" r:id="rId3"/>
  </sheets>
  <definedNames>
    <definedName name="_xlnm._FilterDatabase" localSheetId="0" hidden="1">Expenses!$A$1:$E$71</definedName>
  </definedNames>
  <calcPr calcId="191029" forceFullCalc="1"/>
</workbook>
</file>

<file path=xl/calcChain.xml><?xml version="1.0" encoding="utf-8"?>
<calcChain xmlns="http://schemas.openxmlformats.org/spreadsheetml/2006/main">
  <c r="E18" i="2" l="1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17" i="2"/>
  <c r="B15" i="2"/>
  <c r="B14" i="2"/>
  <c r="E13" i="2"/>
  <c r="B13" i="2"/>
  <c r="E12" i="2"/>
  <c r="B12" i="2"/>
  <c r="E11" i="2"/>
  <c r="B11" i="2"/>
  <c r="B6" i="2"/>
  <c r="B5" i="2"/>
  <c r="B4" i="2"/>
  <c r="B3" i="2"/>
</calcChain>
</file>

<file path=xl/sharedStrings.xml><?xml version="1.0" encoding="utf-8"?>
<sst xmlns="http://schemas.openxmlformats.org/spreadsheetml/2006/main" count="250" uniqueCount="60">
  <si>
    <t>Date</t>
  </si>
  <si>
    <t>Category</t>
  </si>
  <si>
    <t>Description</t>
  </si>
  <si>
    <t>Amount</t>
  </si>
  <si>
    <t>Payment Mode</t>
  </si>
  <si>
    <t>Project</t>
  </si>
  <si>
    <t>Personal Expense Tracker</t>
  </si>
  <si>
    <t>Food</t>
  </si>
  <si>
    <t>Breakfast</t>
  </si>
  <si>
    <t>UPI</t>
  </si>
  <si>
    <t>Purpose</t>
  </si>
  <si>
    <t>Track, analyze and visualize personal spending</t>
  </si>
  <si>
    <t>Transport</t>
  </si>
  <si>
    <t>Auto</t>
  </si>
  <si>
    <t>Cash</t>
  </si>
  <si>
    <t>Shopping</t>
  </si>
  <si>
    <t>Clothes</t>
  </si>
  <si>
    <t>Card</t>
  </si>
  <si>
    <t>Entertainment</t>
  </si>
  <si>
    <t>Movie</t>
  </si>
  <si>
    <t>Bills</t>
  </si>
  <si>
    <t>Mobile Recharge</t>
  </si>
  <si>
    <t>Lunch</t>
  </si>
  <si>
    <t>Metro</t>
  </si>
  <si>
    <t>Cosmetics</t>
  </si>
  <si>
    <t>Cafe</t>
  </si>
  <si>
    <t>Internet</t>
  </si>
  <si>
    <t>Dinner</t>
  </si>
  <si>
    <t>Cab</t>
  </si>
  <si>
    <t>Accessories</t>
  </si>
  <si>
    <t>Game</t>
  </si>
  <si>
    <t>Electricity</t>
  </si>
  <si>
    <t>Snacks</t>
  </si>
  <si>
    <t>Bus</t>
  </si>
  <si>
    <t>Shoes</t>
  </si>
  <si>
    <t>Concert</t>
  </si>
  <si>
    <t>Subscription</t>
  </si>
  <si>
    <t>Coffee</t>
  </si>
  <si>
    <t>Fuel</t>
  </si>
  <si>
    <t>Online Shopping</t>
  </si>
  <si>
    <t>Outing</t>
  </si>
  <si>
    <t>Rent</t>
  </si>
  <si>
    <t>PROJECT INSIGHTS</t>
  </si>
  <si>
    <t>What this project shows</t>
  </si>
  <si>
    <t>1. Total spending can be tracked from one place.</t>
  </si>
  <si>
    <t>2. Category-wise analysis shows where most money is spent.</t>
  </si>
  <si>
    <t>3. Payment mode analysis compares UPI, Cash and Card usage.</t>
  </si>
  <si>
    <t>4. The daily trend chart helps identify high-spending days.</t>
  </si>
  <si>
    <t>5. The summary section gives quick financial metrics.</t>
  </si>
  <si>
    <t>Excel skills used</t>
  </si>
  <si>
    <t>SUM, AVERAGE, MAX, MIN, SUMIF, charts, tables, formatting</t>
  </si>
  <si>
    <t>PERSONAL EXPENSE TRACKER</t>
  </si>
  <si>
    <t>Total Spending</t>
  </si>
  <si>
    <t>Average Spending</t>
  </si>
  <si>
    <t>Highest Expense</t>
  </si>
  <si>
    <t>Lowest Expense</t>
  </si>
  <si>
    <t>CATEGORY-WISE SPENDING</t>
  </si>
  <si>
    <t>PAYMENT MODE ANALYSIS</t>
  </si>
  <si>
    <t>Total Spent</t>
  </si>
  <si>
    <t>DATE-WISE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</si>
</sst>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\₹#,##0.00"/>
  </numFmts>
  <fonts count="6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</font>
    <font>
      <b/>
      <sz val="18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2" fillId="3" borderId="0" xfId="0" applyFont="1" applyFill="1" applyAlignment="1"/>
    <xf numFmtId="166" fontId="3" fillId="0" borderId="0" xfId="0" applyNumberFormat="1" applyFont="1" applyAlignment="1"/>
    <xf numFmtId="0" fontId="5" fillId="0" borderId="0" xfId="0" applyFont="1" applyAlignment="1"/>
    <xf numFmtId="0" fontId="1" fillId="2" borderId="0" xfId="0" applyFont="1" applyFill="1" applyAlignment="1"/>
    <xf numFmtId="165" fontId="3" fillId="0" borderId="0" xfId="0" applyNumberFormat="1" applyFont="1" applyAlignment="1"/>
    <xf numFmtId="164" fontId="3" fillId="0" borderId="0" xfId="0" applyNumberFormat="1" applyFont="1" applyAlignment="1"/>
    <xf numFmtId="0" fontId="4" fillId="2" borderId="0" xfId="0" applyFont="1" applyFill="1" applyAlignment="1">
      <alignment horizontal="center"/>
    </xf>
    <xf numFmtId="0" fontId="0" fillId="0" borderId="0" xfId="0">
      <alignment vertical="center"/>
    </xf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Spending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Total Spent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Summary!$A$11:$A$15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Shopping</c:v>
                </c:pt>
                <c:pt idx="4">
                  <c:v>Transport</c:v>
                </c:pt>
              </c:strCache>
            </c:strRef>
          </c:cat>
          <c:val>
            <c:numRef>
              <c:f>Summary!$B$11:$B$15</c:f>
              <c:numCache>
                <c:formatCode>\₹#,##0</c:formatCode>
                <c:ptCount val="5"/>
                <c:pt idx="0">
                  <c:v>17491</c:v>
                </c:pt>
                <c:pt idx="1">
                  <c:v>7000</c:v>
                </c:pt>
                <c:pt idx="2">
                  <c:v>1800</c:v>
                </c:pt>
                <c:pt idx="3">
                  <c:v>12750</c:v>
                </c:pt>
                <c:pt idx="4">
                  <c:v>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9-4448-B31D-C3551277C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Spending by Payment Mode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Summary!$E$10</c:f>
              <c:strCache>
                <c:ptCount val="1"/>
                <c:pt idx="0">
                  <c:v>Total Spent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Summary!$D$11:$D$13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Summary!$E$11:$E$13</c:f>
              <c:numCache>
                <c:formatCode>\₹#,##0</c:formatCode>
                <c:ptCount val="3"/>
                <c:pt idx="0">
                  <c:v>10017</c:v>
                </c:pt>
                <c:pt idx="1">
                  <c:v>16817</c:v>
                </c:pt>
                <c:pt idx="2">
                  <c:v>15247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6-408A-8DC2-82E98D30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Daily Spending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Summary!$E$16</c:f>
              <c:strCache>
                <c:ptCount val="1"/>
                <c:pt idx="0">
                  <c:v>Total Spent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Summary!$D$17:$D$46</c:f>
              <c:numCache>
                <c:formatCode>dd\-mmm\-yyyy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Summary!$E$17:$E$46</c:f>
              <c:numCache>
                <c:formatCode>\₹#,##0</c:formatCode>
                <c:ptCount val="30"/>
                <c:pt idx="0">
                  <c:v>390</c:v>
                </c:pt>
                <c:pt idx="1">
                  <c:v>440</c:v>
                </c:pt>
                <c:pt idx="2">
                  <c:v>2000</c:v>
                </c:pt>
                <c:pt idx="3">
                  <c:v>1150</c:v>
                </c:pt>
                <c:pt idx="4">
                  <c:v>1498</c:v>
                </c:pt>
                <c:pt idx="5">
                  <c:v>470</c:v>
                </c:pt>
                <c:pt idx="6">
                  <c:v>310</c:v>
                </c:pt>
                <c:pt idx="7">
                  <c:v>3250</c:v>
                </c:pt>
                <c:pt idx="8">
                  <c:v>1000</c:v>
                </c:pt>
                <c:pt idx="9">
                  <c:v>1998</c:v>
                </c:pt>
                <c:pt idx="10">
                  <c:v>270</c:v>
                </c:pt>
                <c:pt idx="11">
                  <c:v>390</c:v>
                </c:pt>
                <c:pt idx="12">
                  <c:v>1700</c:v>
                </c:pt>
                <c:pt idx="13">
                  <c:v>1750</c:v>
                </c:pt>
                <c:pt idx="14">
                  <c:v>1149</c:v>
                </c:pt>
                <c:pt idx="15">
                  <c:v>220</c:v>
                </c:pt>
                <c:pt idx="16">
                  <c:v>830</c:v>
                </c:pt>
                <c:pt idx="17">
                  <c:v>2400</c:v>
                </c:pt>
                <c:pt idx="18">
                  <c:v>1300</c:v>
                </c:pt>
                <c:pt idx="19">
                  <c:v>6499</c:v>
                </c:pt>
                <c:pt idx="20">
                  <c:v>170</c:v>
                </c:pt>
                <c:pt idx="21">
                  <c:v>880</c:v>
                </c:pt>
                <c:pt idx="22">
                  <c:v>1400</c:v>
                </c:pt>
                <c:pt idx="23">
                  <c:v>1200</c:v>
                </c:pt>
                <c:pt idx="24">
                  <c:v>5299</c:v>
                </c:pt>
                <c:pt idx="25">
                  <c:v>280</c:v>
                </c:pt>
                <c:pt idx="26">
                  <c:v>190</c:v>
                </c:pt>
                <c:pt idx="27">
                  <c:v>2000</c:v>
                </c:pt>
                <c:pt idx="28">
                  <c:v>600</c:v>
                </c:pt>
                <c:pt idx="29">
                  <c:v>1048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8C-4E6B-9AD0-8B9FBE5B8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1"/>
        </c:title>
        <c:numFmt formatCode="dd\-mmm\-yy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1"/>
        </c:title>
        <c:numFmt formatCode="\₹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3</xdr:col>
      <xdr:colOff>243571</xdr:colOff>
      <xdr:row>30</xdr:row>
      <xdr:rowOff>43160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14</xdr:col>
      <xdr:colOff>297544</xdr:colOff>
      <xdr:row>30</xdr:row>
      <xdr:rowOff>43160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15</xdr:col>
      <xdr:colOff>229885</xdr:colOff>
      <xdr:row>46</xdr:row>
      <xdr:rowOff>43160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workbookViewId="0">
      <pane ySplit="1" topLeftCell="A2" activePane="bottomLeft" state="frozen"/>
      <selection pane="bottomLeft" activeCell="D15" sqref="D15"/>
    </sheetView>
  </sheetViews>
  <sheetFormatPr defaultColWidth="10" defaultRowHeight="14.4"/>
  <cols>
    <col min="1" max="1" width="15" customWidth="1"/>
    <col min="2" max="2" width="18" customWidth="1"/>
    <col min="3" max="3" width="22" customWidth="1"/>
    <col min="4" max="4" width="14" customWidth="1"/>
    <col min="5" max="5" width="16" customWidth="1"/>
    <col min="7" max="7" width="14" customWidth="1"/>
    <col min="8" max="8" width="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t="s">
        <v>6</v>
      </c>
    </row>
    <row r="2" spans="1:8">
      <c r="A2" s="3">
        <v>46266</v>
      </c>
      <c r="B2" s="4" t="s">
        <v>7</v>
      </c>
      <c r="C2" s="4" t="s">
        <v>8</v>
      </c>
      <c r="D2" s="5">
        <v>60</v>
      </c>
      <c r="E2" s="4" t="s">
        <v>9</v>
      </c>
      <c r="G2" s="2" t="s">
        <v>10</v>
      </c>
      <c r="H2" t="s">
        <v>11</v>
      </c>
    </row>
    <row r="3" spans="1:8">
      <c r="A3" s="3">
        <v>46267</v>
      </c>
      <c r="B3" s="4" t="s">
        <v>12</v>
      </c>
      <c r="C3" s="4" t="s">
        <v>13</v>
      </c>
      <c r="D3" s="5">
        <v>120</v>
      </c>
      <c r="E3" s="4" t="s">
        <v>14</v>
      </c>
    </row>
    <row r="4" spans="1:8">
      <c r="A4" s="3">
        <v>46268</v>
      </c>
      <c r="B4" s="4" t="s">
        <v>15</v>
      </c>
      <c r="C4" s="4" t="s">
        <v>16</v>
      </c>
      <c r="D4" s="5">
        <v>1200</v>
      </c>
      <c r="E4" s="4" t="s">
        <v>17</v>
      </c>
    </row>
    <row r="5" spans="1:8">
      <c r="A5" s="3">
        <v>46269</v>
      </c>
      <c r="B5" s="4" t="s">
        <v>18</v>
      </c>
      <c r="C5" s="4" t="s">
        <v>19</v>
      </c>
      <c r="D5" s="5">
        <v>450</v>
      </c>
      <c r="E5" s="4" t="s">
        <v>9</v>
      </c>
    </row>
    <row r="6" spans="1:8">
      <c r="A6" s="3">
        <v>46270</v>
      </c>
      <c r="B6" s="4" t="s">
        <v>20</v>
      </c>
      <c r="C6" s="4" t="s">
        <v>21</v>
      </c>
      <c r="D6" s="5">
        <v>199</v>
      </c>
      <c r="E6" s="4" t="s">
        <v>14</v>
      </c>
    </row>
    <row r="7" spans="1:8">
      <c r="A7" s="3">
        <v>46271</v>
      </c>
      <c r="B7" s="4" t="s">
        <v>7</v>
      </c>
      <c r="C7" s="4" t="s">
        <v>22</v>
      </c>
      <c r="D7" s="5">
        <v>150</v>
      </c>
      <c r="E7" s="4" t="s">
        <v>17</v>
      </c>
    </row>
    <row r="8" spans="1:8">
      <c r="A8" s="3">
        <v>46272</v>
      </c>
      <c r="B8" s="4" t="s">
        <v>12</v>
      </c>
      <c r="C8" s="4" t="s">
        <v>23</v>
      </c>
      <c r="D8" s="5">
        <v>80</v>
      </c>
      <c r="E8" s="4" t="s">
        <v>9</v>
      </c>
    </row>
    <row r="9" spans="1:8">
      <c r="A9" s="3">
        <v>46273</v>
      </c>
      <c r="B9" s="4" t="s">
        <v>15</v>
      </c>
      <c r="C9" s="4" t="s">
        <v>24</v>
      </c>
      <c r="D9" s="5">
        <v>900</v>
      </c>
      <c r="E9" s="4" t="s">
        <v>14</v>
      </c>
    </row>
    <row r="10" spans="1:8">
      <c r="A10" s="3">
        <v>46274</v>
      </c>
      <c r="B10" s="4" t="s">
        <v>18</v>
      </c>
      <c r="C10" s="4" t="s">
        <v>25</v>
      </c>
      <c r="D10" s="5">
        <v>200</v>
      </c>
      <c r="E10" s="4" t="s">
        <v>17</v>
      </c>
    </row>
    <row r="11" spans="1:8">
      <c r="A11" s="3">
        <v>46275</v>
      </c>
      <c r="B11" s="4" t="s">
        <v>20</v>
      </c>
      <c r="C11" s="4" t="s">
        <v>26</v>
      </c>
      <c r="D11" s="5">
        <v>599</v>
      </c>
      <c r="E11" s="4" t="s">
        <v>9</v>
      </c>
    </row>
    <row r="12" spans="1:8">
      <c r="A12" s="3">
        <v>46276</v>
      </c>
      <c r="B12" s="4" t="s">
        <v>7</v>
      </c>
      <c r="C12" s="4" t="s">
        <v>27</v>
      </c>
      <c r="D12" s="5">
        <v>220</v>
      </c>
      <c r="E12" s="4" t="s">
        <v>14</v>
      </c>
    </row>
    <row r="13" spans="1:8">
      <c r="A13" s="3">
        <v>46277</v>
      </c>
      <c r="B13" s="4" t="s">
        <v>12</v>
      </c>
      <c r="C13" s="4" t="s">
        <v>28</v>
      </c>
      <c r="D13" s="5">
        <v>350</v>
      </c>
      <c r="E13" s="4" t="s">
        <v>17</v>
      </c>
    </row>
    <row r="14" spans="1:8">
      <c r="A14" s="3">
        <v>46278</v>
      </c>
      <c r="B14" s="4" t="s">
        <v>15</v>
      </c>
      <c r="C14" s="4" t="s">
        <v>29</v>
      </c>
      <c r="D14" s="5">
        <v>200</v>
      </c>
      <c r="E14" s="4" t="s">
        <v>9</v>
      </c>
    </row>
    <row r="15" spans="1:8">
      <c r="A15" s="3">
        <v>46279</v>
      </c>
      <c r="B15" s="4" t="s">
        <v>18</v>
      </c>
      <c r="C15" s="4" t="s">
        <v>30</v>
      </c>
      <c r="D15" s="5">
        <v>250</v>
      </c>
      <c r="E15" s="4" t="s">
        <v>14</v>
      </c>
    </row>
    <row r="16" spans="1:8">
      <c r="A16" s="3">
        <v>46280</v>
      </c>
      <c r="B16" s="4" t="s">
        <v>20</v>
      </c>
      <c r="C16" s="4" t="s">
        <v>31</v>
      </c>
      <c r="D16" s="5">
        <v>1000</v>
      </c>
      <c r="E16" s="4" t="s">
        <v>17</v>
      </c>
    </row>
    <row r="17" spans="1:5">
      <c r="A17" s="3">
        <v>46281</v>
      </c>
      <c r="B17" s="4" t="s">
        <v>7</v>
      </c>
      <c r="C17" s="4" t="s">
        <v>32</v>
      </c>
      <c r="D17" s="5">
        <v>120</v>
      </c>
      <c r="E17" s="4" t="s">
        <v>9</v>
      </c>
    </row>
    <row r="18" spans="1:5">
      <c r="A18" s="3">
        <v>46282</v>
      </c>
      <c r="B18" s="4" t="s">
        <v>12</v>
      </c>
      <c r="C18" s="4" t="s">
        <v>33</v>
      </c>
      <c r="D18" s="5">
        <v>30</v>
      </c>
      <c r="E18" s="4" t="s">
        <v>14</v>
      </c>
    </row>
    <row r="19" spans="1:5">
      <c r="A19" s="3">
        <v>46283</v>
      </c>
      <c r="B19" s="4" t="s">
        <v>15</v>
      </c>
      <c r="C19" s="4" t="s">
        <v>34</v>
      </c>
      <c r="D19" s="5">
        <v>1200</v>
      </c>
      <c r="E19" s="4" t="s">
        <v>17</v>
      </c>
    </row>
    <row r="20" spans="1:5">
      <c r="A20" s="3">
        <v>46284</v>
      </c>
      <c r="B20" s="4" t="s">
        <v>18</v>
      </c>
      <c r="C20" s="4" t="s">
        <v>35</v>
      </c>
      <c r="D20" s="5">
        <v>1000</v>
      </c>
      <c r="E20" s="4" t="s">
        <v>9</v>
      </c>
    </row>
    <row r="21" spans="1:5">
      <c r="A21" s="3">
        <v>46285</v>
      </c>
      <c r="B21" s="4" t="s">
        <v>20</v>
      </c>
      <c r="C21" s="4" t="s">
        <v>36</v>
      </c>
      <c r="D21" s="5">
        <v>499</v>
      </c>
      <c r="E21" s="4" t="s">
        <v>14</v>
      </c>
    </row>
    <row r="22" spans="1:5">
      <c r="A22" s="3">
        <v>46286</v>
      </c>
      <c r="B22" s="4" t="s">
        <v>7</v>
      </c>
      <c r="C22" s="4" t="s">
        <v>37</v>
      </c>
      <c r="D22" s="5">
        <v>80</v>
      </c>
      <c r="E22" s="4" t="s">
        <v>17</v>
      </c>
    </row>
    <row r="23" spans="1:5">
      <c r="A23" s="3">
        <v>46287</v>
      </c>
      <c r="B23" s="4" t="s">
        <v>12</v>
      </c>
      <c r="C23" s="4" t="s">
        <v>38</v>
      </c>
      <c r="D23" s="5">
        <v>700</v>
      </c>
      <c r="E23" s="4" t="s">
        <v>9</v>
      </c>
    </row>
    <row r="24" spans="1:5">
      <c r="A24" s="3">
        <v>46288</v>
      </c>
      <c r="B24" s="4" t="s">
        <v>15</v>
      </c>
      <c r="C24" s="4" t="s">
        <v>39</v>
      </c>
      <c r="D24" s="5">
        <v>900</v>
      </c>
      <c r="E24" s="4" t="s">
        <v>14</v>
      </c>
    </row>
    <row r="25" spans="1:5">
      <c r="A25" s="3">
        <v>46289</v>
      </c>
      <c r="B25" s="4" t="s">
        <v>18</v>
      </c>
      <c r="C25" s="4" t="s">
        <v>40</v>
      </c>
      <c r="D25" s="5">
        <v>900</v>
      </c>
      <c r="E25" s="4" t="s">
        <v>17</v>
      </c>
    </row>
    <row r="26" spans="1:5">
      <c r="A26" s="3">
        <v>46290</v>
      </c>
      <c r="B26" s="4" t="s">
        <v>20</v>
      </c>
      <c r="C26" s="4" t="s">
        <v>41</v>
      </c>
      <c r="D26" s="5">
        <v>5000</v>
      </c>
      <c r="E26" s="4" t="s">
        <v>9</v>
      </c>
    </row>
    <row r="27" spans="1:5">
      <c r="A27" s="3">
        <v>46291</v>
      </c>
      <c r="B27" s="4" t="s">
        <v>7</v>
      </c>
      <c r="C27" s="4" t="s">
        <v>8</v>
      </c>
      <c r="D27" s="5">
        <v>80</v>
      </c>
      <c r="E27" s="4" t="s">
        <v>14</v>
      </c>
    </row>
    <row r="28" spans="1:5">
      <c r="A28" s="3">
        <v>46292</v>
      </c>
      <c r="B28" s="4" t="s">
        <v>12</v>
      </c>
      <c r="C28" s="4" t="s">
        <v>13</v>
      </c>
      <c r="D28" s="5">
        <v>150</v>
      </c>
      <c r="E28" s="4" t="s">
        <v>17</v>
      </c>
    </row>
    <row r="29" spans="1:5">
      <c r="A29" s="3">
        <v>46293</v>
      </c>
      <c r="B29" s="4" t="s">
        <v>15</v>
      </c>
      <c r="C29" s="4" t="s">
        <v>16</v>
      </c>
      <c r="D29" s="5">
        <v>1500</v>
      </c>
      <c r="E29" s="4" t="s">
        <v>9</v>
      </c>
    </row>
    <row r="30" spans="1:5">
      <c r="A30" s="3">
        <v>46294</v>
      </c>
      <c r="B30" s="4" t="s">
        <v>18</v>
      </c>
      <c r="C30" s="4" t="s">
        <v>19</v>
      </c>
      <c r="D30" s="5">
        <v>200</v>
      </c>
      <c r="E30" s="4" t="s">
        <v>14</v>
      </c>
    </row>
    <row r="31" spans="1:5">
      <c r="A31" s="3">
        <v>46295</v>
      </c>
      <c r="B31" s="4" t="s">
        <v>20</v>
      </c>
      <c r="C31" s="4" t="s">
        <v>21</v>
      </c>
      <c r="D31" s="5">
        <v>249</v>
      </c>
      <c r="E31" s="4" t="s">
        <v>17</v>
      </c>
    </row>
    <row r="32" spans="1:5">
      <c r="A32" s="3">
        <v>46266</v>
      </c>
      <c r="B32" s="4" t="s">
        <v>7</v>
      </c>
      <c r="C32" s="4" t="s">
        <v>22</v>
      </c>
      <c r="D32" s="5">
        <v>180</v>
      </c>
      <c r="E32" s="4" t="s">
        <v>9</v>
      </c>
    </row>
    <row r="33" spans="1:5">
      <c r="A33" s="3">
        <v>46267</v>
      </c>
      <c r="B33" s="4" t="s">
        <v>12</v>
      </c>
      <c r="C33" s="4" t="s">
        <v>23</v>
      </c>
      <c r="D33" s="5">
        <v>100</v>
      </c>
      <c r="E33" s="4" t="s">
        <v>14</v>
      </c>
    </row>
    <row r="34" spans="1:5">
      <c r="A34" s="3">
        <v>46268</v>
      </c>
      <c r="B34" s="4" t="s">
        <v>15</v>
      </c>
      <c r="C34" s="4" t="s">
        <v>24</v>
      </c>
      <c r="D34" s="5">
        <v>300</v>
      </c>
      <c r="E34" s="4" t="s">
        <v>17</v>
      </c>
    </row>
    <row r="35" spans="1:5">
      <c r="A35" s="3">
        <v>46269</v>
      </c>
      <c r="B35" s="4" t="s">
        <v>18</v>
      </c>
      <c r="C35" s="4" t="s">
        <v>25</v>
      </c>
      <c r="D35" s="5">
        <v>300</v>
      </c>
      <c r="E35" s="4" t="s">
        <v>9</v>
      </c>
    </row>
    <row r="36" spans="1:5">
      <c r="A36" s="3">
        <v>46270</v>
      </c>
      <c r="B36" s="4" t="s">
        <v>20</v>
      </c>
      <c r="C36" s="4" t="s">
        <v>26</v>
      </c>
      <c r="D36" s="5">
        <v>699</v>
      </c>
      <c r="E36" s="4" t="s">
        <v>14</v>
      </c>
    </row>
    <row r="37" spans="1:5">
      <c r="A37" s="3">
        <v>46271</v>
      </c>
      <c r="B37" s="4" t="s">
        <v>7</v>
      </c>
      <c r="C37" s="4" t="s">
        <v>27</v>
      </c>
      <c r="D37" s="5">
        <v>250</v>
      </c>
      <c r="E37" s="4" t="s">
        <v>17</v>
      </c>
    </row>
    <row r="38" spans="1:5">
      <c r="A38" s="3">
        <v>46272</v>
      </c>
      <c r="B38" s="4" t="s">
        <v>12</v>
      </c>
      <c r="C38" s="4" t="s">
        <v>28</v>
      </c>
      <c r="D38" s="5">
        <v>180</v>
      </c>
      <c r="E38" s="4" t="s">
        <v>9</v>
      </c>
    </row>
    <row r="39" spans="1:5">
      <c r="A39" s="3">
        <v>46273</v>
      </c>
      <c r="B39" s="4" t="s">
        <v>15</v>
      </c>
      <c r="C39" s="4" t="s">
        <v>29</v>
      </c>
      <c r="D39" s="5">
        <v>350</v>
      </c>
      <c r="E39" s="4" t="s">
        <v>14</v>
      </c>
    </row>
    <row r="40" spans="1:5">
      <c r="A40" s="3">
        <v>46274</v>
      </c>
      <c r="B40" s="4" t="s">
        <v>18</v>
      </c>
      <c r="C40" s="4" t="s">
        <v>30</v>
      </c>
      <c r="D40" s="5">
        <v>300</v>
      </c>
      <c r="E40" s="4" t="s">
        <v>17</v>
      </c>
    </row>
    <row r="41" spans="1:5">
      <c r="A41" s="3">
        <v>46275</v>
      </c>
      <c r="B41" s="4" t="s">
        <v>20</v>
      </c>
      <c r="C41" s="4" t="s">
        <v>31</v>
      </c>
      <c r="D41" s="5">
        <v>1200</v>
      </c>
      <c r="E41" s="4" t="s">
        <v>9</v>
      </c>
    </row>
    <row r="42" spans="1:5">
      <c r="A42" s="3">
        <v>46276</v>
      </c>
      <c r="B42" s="4" t="s">
        <v>7</v>
      </c>
      <c r="C42" s="4" t="s">
        <v>32</v>
      </c>
      <c r="D42" s="5">
        <v>50</v>
      </c>
      <c r="E42" s="4" t="s">
        <v>14</v>
      </c>
    </row>
    <row r="43" spans="1:5">
      <c r="A43" s="3">
        <v>46277</v>
      </c>
      <c r="B43" s="4" t="s">
        <v>12</v>
      </c>
      <c r="C43" s="4" t="s">
        <v>33</v>
      </c>
      <c r="D43" s="5">
        <v>40</v>
      </c>
      <c r="E43" s="4" t="s">
        <v>17</v>
      </c>
    </row>
    <row r="44" spans="1:5">
      <c r="A44" s="3">
        <v>46278</v>
      </c>
      <c r="B44" s="4" t="s">
        <v>15</v>
      </c>
      <c r="C44" s="4" t="s">
        <v>34</v>
      </c>
      <c r="D44" s="5">
        <v>1500</v>
      </c>
      <c r="E44" s="4" t="s">
        <v>9</v>
      </c>
    </row>
    <row r="45" spans="1:5">
      <c r="A45" s="3">
        <v>46279</v>
      </c>
      <c r="B45" s="4" t="s">
        <v>18</v>
      </c>
      <c r="C45" s="4" t="s">
        <v>35</v>
      </c>
      <c r="D45" s="5">
        <v>1500</v>
      </c>
      <c r="E45" s="4" t="s">
        <v>14</v>
      </c>
    </row>
    <row r="46" spans="1:5">
      <c r="A46" s="3">
        <v>46280</v>
      </c>
      <c r="B46" s="4" t="s">
        <v>20</v>
      </c>
      <c r="C46" s="4" t="s">
        <v>36</v>
      </c>
      <c r="D46" s="5">
        <v>149</v>
      </c>
      <c r="E46" s="4" t="s">
        <v>17</v>
      </c>
    </row>
    <row r="47" spans="1:5">
      <c r="A47" s="3">
        <v>46281</v>
      </c>
      <c r="B47" s="4" t="s">
        <v>7</v>
      </c>
      <c r="C47" s="4" t="s">
        <v>37</v>
      </c>
      <c r="D47" s="5">
        <v>100</v>
      </c>
      <c r="E47" s="4" t="s">
        <v>9</v>
      </c>
    </row>
    <row r="48" spans="1:5">
      <c r="A48" s="3">
        <v>46282</v>
      </c>
      <c r="B48" s="4" t="s">
        <v>12</v>
      </c>
      <c r="C48" s="4" t="s">
        <v>38</v>
      </c>
      <c r="D48" s="5">
        <v>800</v>
      </c>
      <c r="E48" s="4" t="s">
        <v>14</v>
      </c>
    </row>
    <row r="49" spans="1:5">
      <c r="A49" s="3">
        <v>46283</v>
      </c>
      <c r="B49" s="4" t="s">
        <v>15</v>
      </c>
      <c r="C49" s="4" t="s">
        <v>39</v>
      </c>
      <c r="D49" s="5">
        <v>1200</v>
      </c>
      <c r="E49" s="4" t="s">
        <v>17</v>
      </c>
    </row>
    <row r="50" spans="1:5">
      <c r="A50" s="3">
        <v>46284</v>
      </c>
      <c r="B50" s="4" t="s">
        <v>18</v>
      </c>
      <c r="C50" s="4" t="s">
        <v>40</v>
      </c>
      <c r="D50" s="5">
        <v>300</v>
      </c>
      <c r="E50" s="4" t="s">
        <v>9</v>
      </c>
    </row>
    <row r="51" spans="1:5">
      <c r="A51" s="3">
        <v>46285</v>
      </c>
      <c r="B51" s="4" t="s">
        <v>20</v>
      </c>
      <c r="C51" s="4" t="s">
        <v>41</v>
      </c>
      <c r="D51" s="5">
        <v>6000</v>
      </c>
      <c r="E51" s="4" t="s">
        <v>14</v>
      </c>
    </row>
    <row r="52" spans="1:5">
      <c r="A52" s="3">
        <v>46286</v>
      </c>
      <c r="B52" s="4" t="s">
        <v>7</v>
      </c>
      <c r="C52" s="4" t="s">
        <v>8</v>
      </c>
      <c r="D52" s="5">
        <v>90</v>
      </c>
      <c r="E52" s="4" t="s">
        <v>17</v>
      </c>
    </row>
    <row r="53" spans="1:5">
      <c r="A53" s="3">
        <v>46287</v>
      </c>
      <c r="B53" s="4" t="s">
        <v>12</v>
      </c>
      <c r="C53" s="4" t="s">
        <v>13</v>
      </c>
      <c r="D53" s="5">
        <v>180</v>
      </c>
      <c r="E53" s="4" t="s">
        <v>9</v>
      </c>
    </row>
    <row r="54" spans="1:5">
      <c r="A54" s="3">
        <v>46288</v>
      </c>
      <c r="B54" s="4" t="s">
        <v>15</v>
      </c>
      <c r="C54" s="4" t="s">
        <v>16</v>
      </c>
      <c r="D54" s="5">
        <v>500</v>
      </c>
      <c r="E54" s="4" t="s">
        <v>14</v>
      </c>
    </row>
    <row r="55" spans="1:5">
      <c r="A55" s="3">
        <v>46289</v>
      </c>
      <c r="B55" s="4" t="s">
        <v>18</v>
      </c>
      <c r="C55" s="4" t="s">
        <v>19</v>
      </c>
      <c r="D55" s="5">
        <v>300</v>
      </c>
      <c r="E55" s="4" t="s">
        <v>17</v>
      </c>
    </row>
    <row r="56" spans="1:5">
      <c r="A56" s="3">
        <v>46290</v>
      </c>
      <c r="B56" s="4" t="s">
        <v>20</v>
      </c>
      <c r="C56" s="4" t="s">
        <v>21</v>
      </c>
      <c r="D56" s="5">
        <v>299</v>
      </c>
      <c r="E56" s="4" t="s">
        <v>9</v>
      </c>
    </row>
    <row r="57" spans="1:5">
      <c r="A57" s="3">
        <v>46291</v>
      </c>
      <c r="B57" s="4" t="s">
        <v>7</v>
      </c>
      <c r="C57" s="4" t="s">
        <v>22</v>
      </c>
      <c r="D57" s="5">
        <v>200</v>
      </c>
      <c r="E57" s="4" t="s">
        <v>14</v>
      </c>
    </row>
    <row r="58" spans="1:5">
      <c r="A58" s="3">
        <v>46292</v>
      </c>
      <c r="B58" s="4" t="s">
        <v>12</v>
      </c>
      <c r="C58" s="4" t="s">
        <v>23</v>
      </c>
      <c r="D58" s="5">
        <v>40</v>
      </c>
      <c r="E58" s="4" t="s">
        <v>17</v>
      </c>
    </row>
    <row r="59" spans="1:5">
      <c r="A59" s="3">
        <v>46293</v>
      </c>
      <c r="B59" s="4" t="s">
        <v>15</v>
      </c>
      <c r="C59" s="4" t="s">
        <v>24</v>
      </c>
      <c r="D59" s="5">
        <v>500</v>
      </c>
      <c r="E59" s="4" t="s">
        <v>9</v>
      </c>
    </row>
    <row r="60" spans="1:5">
      <c r="A60" s="3">
        <v>46294</v>
      </c>
      <c r="B60" s="4" t="s">
        <v>18</v>
      </c>
      <c r="C60" s="4" t="s">
        <v>25</v>
      </c>
      <c r="D60" s="5">
        <v>400</v>
      </c>
      <c r="E60" s="4" t="s">
        <v>14</v>
      </c>
    </row>
    <row r="61" spans="1:5">
      <c r="A61" s="3">
        <v>46295</v>
      </c>
      <c r="B61" s="4" t="s">
        <v>20</v>
      </c>
      <c r="C61" s="4" t="s">
        <v>26</v>
      </c>
      <c r="D61" s="5">
        <v>799</v>
      </c>
      <c r="E61" s="4" t="s">
        <v>17</v>
      </c>
    </row>
    <row r="62" spans="1:5">
      <c r="A62" s="3">
        <v>46266</v>
      </c>
      <c r="B62" s="4" t="s">
        <v>7</v>
      </c>
      <c r="C62" s="4" t="s">
        <v>27</v>
      </c>
      <c r="D62" s="5">
        <v>150</v>
      </c>
      <c r="E62" s="4" t="s">
        <v>9</v>
      </c>
    </row>
    <row r="63" spans="1:5">
      <c r="A63" s="3">
        <v>46267</v>
      </c>
      <c r="B63" s="4" t="s">
        <v>12</v>
      </c>
      <c r="C63" s="4" t="s">
        <v>28</v>
      </c>
      <c r="D63" s="5">
        <v>220</v>
      </c>
      <c r="E63" s="4" t="s">
        <v>14</v>
      </c>
    </row>
    <row r="64" spans="1:5">
      <c r="A64" s="3">
        <v>46268</v>
      </c>
      <c r="B64" s="4" t="s">
        <v>15</v>
      </c>
      <c r="C64" s="4" t="s">
        <v>29</v>
      </c>
      <c r="D64" s="5">
        <v>500</v>
      </c>
      <c r="E64" s="4" t="s">
        <v>17</v>
      </c>
    </row>
    <row r="65" spans="1:5">
      <c r="A65" s="3">
        <v>46269</v>
      </c>
      <c r="B65" s="4" t="s">
        <v>18</v>
      </c>
      <c r="C65" s="4" t="s">
        <v>30</v>
      </c>
      <c r="D65" s="5">
        <v>400</v>
      </c>
      <c r="E65" s="4" t="s">
        <v>9</v>
      </c>
    </row>
    <row r="66" spans="1:5">
      <c r="A66" s="3">
        <v>46270</v>
      </c>
      <c r="B66" s="4" t="s">
        <v>20</v>
      </c>
      <c r="C66" s="4" t="s">
        <v>31</v>
      </c>
      <c r="D66" s="5">
        <v>600</v>
      </c>
      <c r="E66" s="4" t="s">
        <v>14</v>
      </c>
    </row>
    <row r="67" spans="1:5">
      <c r="A67" s="3">
        <v>46271</v>
      </c>
      <c r="B67" s="4" t="s">
        <v>7</v>
      </c>
      <c r="C67" s="4" t="s">
        <v>32</v>
      </c>
      <c r="D67" s="5">
        <v>70</v>
      </c>
      <c r="E67" s="4" t="s">
        <v>17</v>
      </c>
    </row>
    <row r="68" spans="1:5">
      <c r="A68" s="3">
        <v>46272</v>
      </c>
      <c r="B68" s="4" t="s">
        <v>12</v>
      </c>
      <c r="C68" s="4" t="s">
        <v>33</v>
      </c>
      <c r="D68" s="5">
        <v>50</v>
      </c>
      <c r="E68" s="4" t="s">
        <v>9</v>
      </c>
    </row>
    <row r="69" spans="1:5">
      <c r="A69" s="3">
        <v>46273</v>
      </c>
      <c r="B69" s="4" t="s">
        <v>15</v>
      </c>
      <c r="C69" s="4" t="s">
        <v>34</v>
      </c>
      <c r="D69" s="5">
        <v>2000</v>
      </c>
      <c r="E69" s="4" t="s">
        <v>14</v>
      </c>
    </row>
    <row r="70" spans="1:5">
      <c r="A70" s="3">
        <v>46274</v>
      </c>
      <c r="B70" s="4" t="s">
        <v>18</v>
      </c>
      <c r="C70" s="4" t="s">
        <v>35</v>
      </c>
      <c r="D70" s="5">
        <v>500</v>
      </c>
      <c r="E70" s="4" t="s">
        <v>17</v>
      </c>
    </row>
    <row r="71" spans="1:5">
      <c r="A71" s="3">
        <v>46275</v>
      </c>
      <c r="B71" s="4" t="s">
        <v>20</v>
      </c>
      <c r="C71" s="4" t="s">
        <v>36</v>
      </c>
      <c r="D71" s="5">
        <v>199</v>
      </c>
      <c r="E71" s="4" t="s">
        <v>9</v>
      </c>
    </row>
  </sheetData>
  <autoFilter ref="A1:E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tabSelected="1" workbookViewId="0">
      <selection activeCell="E18" sqref="E18"/>
    </sheetView>
  </sheetViews>
  <sheetFormatPr defaultColWidth="10" defaultRowHeight="14.4"/>
  <cols>
    <col min="1" max="1" width="24" customWidth="1"/>
    <col min="2" max="2" width="18" customWidth="1"/>
    <col min="4" max="4" width="24" customWidth="1"/>
    <col min="5" max="5" width="18" customWidth="1"/>
    <col min="10" max="10" width="2" customWidth="1"/>
  </cols>
  <sheetData>
    <row r="1" spans="1:5" ht="23.4">
      <c r="A1" s="12" t="s">
        <v>51</v>
      </c>
      <c r="B1" s="13"/>
      <c r="C1" s="13"/>
      <c r="D1" s="13"/>
    </row>
    <row r="3" spans="1:5">
      <c r="A3" s="6" t="s">
        <v>52</v>
      </c>
      <c r="B3" s="7">
        <f>SUM(Expenses!D2:D71)</f>
        <v>42081</v>
      </c>
    </row>
    <row r="4" spans="1:5">
      <c r="A4" s="6" t="s">
        <v>53</v>
      </c>
      <c r="B4" s="7">
        <f>AVERAGE(Expenses!D2:D71)</f>
        <v>601.15714285714284</v>
      </c>
    </row>
    <row r="5" spans="1:5">
      <c r="A5" s="6" t="s">
        <v>54</v>
      </c>
      <c r="B5" s="7">
        <f>MAX(Expenses!D2:D71)</f>
        <v>6000</v>
      </c>
    </row>
    <row r="6" spans="1:5">
      <c r="A6" s="6" t="s">
        <v>55</v>
      </c>
      <c r="B6" s="7">
        <f>MIN(Expenses!D2:D71)</f>
        <v>30</v>
      </c>
    </row>
    <row r="9" spans="1:5" ht="18">
      <c r="A9" s="8" t="s">
        <v>56</v>
      </c>
      <c r="D9" s="8" t="s">
        <v>57</v>
      </c>
    </row>
    <row r="10" spans="1:5">
      <c r="A10" s="9" t="s">
        <v>1</v>
      </c>
      <c r="B10" s="9" t="s">
        <v>58</v>
      </c>
      <c r="D10" s="9" t="s">
        <v>4</v>
      </c>
      <c r="E10" s="9" t="s">
        <v>58</v>
      </c>
    </row>
    <row r="11" spans="1:5">
      <c r="A11" t="s">
        <v>20</v>
      </c>
      <c r="B11" s="10">
        <f>SUMIF(Expenses!B:B,A11,Expenses!D:D)</f>
        <v>17491</v>
      </c>
      <c r="D11" t="s">
        <v>17</v>
      </c>
      <c r="E11" s="10">
        <f>SUMIF(Expenses!E:E,D11,Expenses!D:D)</f>
        <v>10017</v>
      </c>
    </row>
    <row r="12" spans="1:5">
      <c r="A12" t="s">
        <v>18</v>
      </c>
      <c r="B12" s="10">
        <f>SUMIF(Expenses!B:B,A12,Expenses!D:D)</f>
        <v>7000</v>
      </c>
      <c r="D12" t="s">
        <v>14</v>
      </c>
      <c r="E12" s="10">
        <f>SUMIF(Expenses!E:E,D12,Expenses!D:D)</f>
        <v>16817</v>
      </c>
    </row>
    <row r="13" spans="1:5">
      <c r="A13" t="s">
        <v>7</v>
      </c>
      <c r="B13" s="10">
        <f>SUMIF(Expenses!B:B,A13,Expenses!D:D)</f>
        <v>1800</v>
      </c>
      <c r="D13" t="s">
        <v>9</v>
      </c>
      <c r="E13" s="10">
        <f>SUMIF(Expenses!E:E,D13,Expenses!D:D)</f>
        <v>15247</v>
      </c>
    </row>
    <row r="14" spans="1:5">
      <c r="A14" t="s">
        <v>15</v>
      </c>
      <c r="B14" s="10">
        <f>SUMIF(Expenses!B:B,A14,Expenses!D:D)</f>
        <v>12750</v>
      </c>
    </row>
    <row r="15" spans="1:5" ht="18">
      <c r="A15" t="s">
        <v>12</v>
      </c>
      <c r="B15" s="10">
        <f>SUMIF(Expenses!B:B,A15,Expenses!D:D)</f>
        <v>3040</v>
      </c>
      <c r="D15" s="8" t="s">
        <v>59</v>
      </c>
    </row>
    <row r="16" spans="1:5">
      <c r="D16" s="9" t="s">
        <v>0</v>
      </c>
      <c r="E16" s="9" t="s">
        <v>58</v>
      </c>
    </row>
    <row r="17" spans="4:5">
      <c r="D17" s="11">
        <v>46266</v>
      </c>
      <c r="E17" s="10">
        <f>SUMIF(Expenses!$A$2:$A$71,D17,Expenses!$D$2:$D$71)</f>
        <v>390</v>
      </c>
    </row>
    <row r="18" spans="4:5">
      <c r="D18" s="11">
        <v>46267</v>
      </c>
      <c r="E18" s="10">
        <f>SUMIF(Expenses!$A$2:$A$71,D18,Expenses!$D$2:$D$71)</f>
        <v>440</v>
      </c>
    </row>
    <row r="19" spans="4:5">
      <c r="D19" s="11">
        <v>46268</v>
      </c>
      <c r="E19" s="10">
        <f>SUMIF(Expenses!$A$2:$A$71,D19,Expenses!$D$2:$D$71)</f>
        <v>2000</v>
      </c>
    </row>
    <row r="20" spans="4:5">
      <c r="D20" s="11">
        <v>46269</v>
      </c>
      <c r="E20" s="10">
        <f>SUMIF(Expenses!$A$2:$A$71,D20,Expenses!$D$2:$D$71)</f>
        <v>1150</v>
      </c>
    </row>
    <row r="21" spans="4:5">
      <c r="D21" s="11">
        <v>46270</v>
      </c>
      <c r="E21" s="10">
        <f>SUMIF(Expenses!$A$2:$A$71,D21,Expenses!$D$2:$D$71)</f>
        <v>1498</v>
      </c>
    </row>
    <row r="22" spans="4:5">
      <c r="D22" s="11">
        <v>46271</v>
      </c>
      <c r="E22" s="10">
        <f>SUMIF(Expenses!$A$2:$A$71,D22,Expenses!$D$2:$D$71)</f>
        <v>470</v>
      </c>
    </row>
    <row r="23" spans="4:5">
      <c r="D23" s="11">
        <v>46272</v>
      </c>
      <c r="E23" s="10">
        <f>SUMIF(Expenses!$A$2:$A$71,D23,Expenses!$D$2:$D$71)</f>
        <v>310</v>
      </c>
    </row>
    <row r="24" spans="4:5">
      <c r="D24" s="11">
        <v>46273</v>
      </c>
      <c r="E24" s="10">
        <f>SUMIF(Expenses!$A$2:$A$71,D24,Expenses!$D$2:$D$71)</f>
        <v>3250</v>
      </c>
    </row>
    <row r="25" spans="4:5">
      <c r="D25" s="11">
        <v>46274</v>
      </c>
      <c r="E25" s="10">
        <f>SUMIF(Expenses!$A$2:$A$71,D25,Expenses!$D$2:$D$71)</f>
        <v>1000</v>
      </c>
    </row>
    <row r="26" spans="4:5">
      <c r="D26" s="11">
        <v>46275</v>
      </c>
      <c r="E26" s="10">
        <f>SUMIF(Expenses!$A$2:$A$71,D26,Expenses!$D$2:$D$71)</f>
        <v>1998</v>
      </c>
    </row>
    <row r="27" spans="4:5">
      <c r="D27" s="11">
        <v>46276</v>
      </c>
      <c r="E27" s="10">
        <f>SUMIF(Expenses!$A$2:$A$71,D27,Expenses!$D$2:$D$71)</f>
        <v>270</v>
      </c>
    </row>
    <row r="28" spans="4:5">
      <c r="D28" s="11">
        <v>46277</v>
      </c>
      <c r="E28" s="10">
        <f>SUMIF(Expenses!$A$2:$A$71,D28,Expenses!$D$2:$D$71)</f>
        <v>390</v>
      </c>
    </row>
    <row r="29" spans="4:5">
      <c r="D29" s="11">
        <v>46278</v>
      </c>
      <c r="E29" s="10">
        <f>SUMIF(Expenses!$A$2:$A$71,D29,Expenses!$D$2:$D$71)</f>
        <v>1700</v>
      </c>
    </row>
    <row r="30" spans="4:5">
      <c r="D30" s="11">
        <v>46279</v>
      </c>
      <c r="E30" s="10">
        <f>SUMIF(Expenses!$A$2:$A$71,D30,Expenses!$D$2:$D$71)</f>
        <v>1750</v>
      </c>
    </row>
    <row r="31" spans="4:5">
      <c r="D31" s="11">
        <v>46280</v>
      </c>
      <c r="E31" s="10">
        <f>SUMIF(Expenses!$A$2:$A$71,D31,Expenses!$D$2:$D$71)</f>
        <v>1149</v>
      </c>
    </row>
    <row r="32" spans="4:5">
      <c r="D32" s="11">
        <v>46281</v>
      </c>
      <c r="E32" s="10">
        <f>SUMIF(Expenses!$A$2:$A$71,D32,Expenses!$D$2:$D$71)</f>
        <v>220</v>
      </c>
    </row>
    <row r="33" spans="4:5">
      <c r="D33" s="11">
        <v>46282</v>
      </c>
      <c r="E33" s="10">
        <f>SUMIF(Expenses!$A$2:$A$71,D33,Expenses!$D$2:$D$71)</f>
        <v>830</v>
      </c>
    </row>
    <row r="34" spans="4:5">
      <c r="D34" s="11">
        <v>46283</v>
      </c>
      <c r="E34" s="10">
        <f>SUMIF(Expenses!$A$2:$A$71,D34,Expenses!$D$2:$D$71)</f>
        <v>2400</v>
      </c>
    </row>
    <row r="35" spans="4:5">
      <c r="D35" s="11">
        <v>46284</v>
      </c>
      <c r="E35" s="10">
        <f>SUMIF(Expenses!$A$2:$A$71,D35,Expenses!$D$2:$D$71)</f>
        <v>1300</v>
      </c>
    </row>
    <row r="36" spans="4:5">
      <c r="D36" s="11">
        <v>46285</v>
      </c>
      <c r="E36" s="10">
        <f>SUMIF(Expenses!$A$2:$A$71,D36,Expenses!$D$2:$D$71)</f>
        <v>6499</v>
      </c>
    </row>
    <row r="37" spans="4:5">
      <c r="D37" s="11">
        <v>46286</v>
      </c>
      <c r="E37" s="10">
        <f>SUMIF(Expenses!$A$2:$A$71,D37,Expenses!$D$2:$D$71)</f>
        <v>170</v>
      </c>
    </row>
    <row r="38" spans="4:5">
      <c r="D38" s="11">
        <v>46287</v>
      </c>
      <c r="E38" s="10">
        <f>SUMIF(Expenses!$A$2:$A$71,D38,Expenses!$D$2:$D$71)</f>
        <v>880</v>
      </c>
    </row>
    <row r="39" spans="4:5">
      <c r="D39" s="11">
        <v>46288</v>
      </c>
      <c r="E39" s="10">
        <f>SUMIF(Expenses!$A$2:$A$71,D39,Expenses!$D$2:$D$71)</f>
        <v>1400</v>
      </c>
    </row>
    <row r="40" spans="4:5">
      <c r="D40" s="11">
        <v>46289</v>
      </c>
      <c r="E40" s="10">
        <f>SUMIF(Expenses!$A$2:$A$71,D40,Expenses!$D$2:$D$71)</f>
        <v>1200</v>
      </c>
    </row>
    <row r="41" spans="4:5">
      <c r="D41" s="11">
        <v>46290</v>
      </c>
      <c r="E41" s="10">
        <f>SUMIF(Expenses!$A$2:$A$71,D41,Expenses!$D$2:$D$71)</f>
        <v>5299</v>
      </c>
    </row>
    <row r="42" spans="4:5">
      <c r="D42" s="11">
        <v>46291</v>
      </c>
      <c r="E42" s="10">
        <f>SUMIF(Expenses!$A$2:$A$71,D42,Expenses!$D$2:$D$71)</f>
        <v>280</v>
      </c>
    </row>
    <row r="43" spans="4:5">
      <c r="D43" s="11">
        <v>46292</v>
      </c>
      <c r="E43" s="10">
        <f>SUMIF(Expenses!$A$2:$A$71,D43,Expenses!$D$2:$D$71)</f>
        <v>190</v>
      </c>
    </row>
    <row r="44" spans="4:5">
      <c r="D44" s="11">
        <v>46293</v>
      </c>
      <c r="E44" s="10">
        <f>SUMIF(Expenses!$A$2:$A$71,D44,Expenses!$D$2:$D$71)</f>
        <v>2000</v>
      </c>
    </row>
    <row r="45" spans="4:5">
      <c r="D45" s="11">
        <v>46294</v>
      </c>
      <c r="E45" s="10">
        <f>SUMIF(Expenses!$A$2:$A$71,D45,Expenses!$D$2:$D$71)</f>
        <v>600</v>
      </c>
    </row>
    <row r="46" spans="4:5">
      <c r="D46" s="11">
        <v>46295</v>
      </c>
      <c r="E46" s="10">
        <f>SUMIF(Expenses!$A$2:$A$71,D46,Expenses!$D$2:$D$71)</f>
        <v>1048</v>
      </c>
    </row>
    <row r="47" spans="4:5">
      <c r="E47" s="10"/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ColWidth="10" defaultRowHeight="14.4"/>
  <cols>
    <col min="1" max="1" width="85" customWidth="1"/>
  </cols>
  <sheetData>
    <row r="1" spans="1:4" ht="23.4">
      <c r="A1" s="14" t="s">
        <v>42</v>
      </c>
      <c r="B1" s="13"/>
      <c r="C1" s="13"/>
      <c r="D1" s="13"/>
    </row>
    <row r="3" spans="1:4" ht="18">
      <c r="A3" s="8" t="s">
        <v>43</v>
      </c>
    </row>
    <row r="5" spans="1:4">
      <c r="A5" t="s">
        <v>44</v>
      </c>
    </row>
    <row r="6" spans="1:4">
      <c r="A6" t="s">
        <v>45</v>
      </c>
    </row>
    <row r="7" spans="1:4">
      <c r="A7" t="s">
        <v>46</v>
      </c>
    </row>
    <row r="8" spans="1:4">
      <c r="A8" t="s">
        <v>47</v>
      </c>
    </row>
    <row r="9" spans="1:4">
      <c r="A9" t="s">
        <v>48</v>
      </c>
    </row>
    <row r="11" spans="1:4" ht="18">
      <c r="A11" s="8" t="s">
        <v>49</v>
      </c>
    </row>
    <row r="13" spans="1:4">
      <c r="A13" t="s">
        <v>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JANGALA TEJASWINI</cp:lastModifiedBy>
  <dcterms:created xsi:type="dcterms:W3CDTF">2026-09-20T04:39:34Z</dcterms:created>
  <dcterms:modified xsi:type="dcterms:W3CDTF">2026-09-15T10:27:08Z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41002cdf2c134878a4a5c9d510c42696</vt:lpwstr>
  </property>
</Properties>
</file>